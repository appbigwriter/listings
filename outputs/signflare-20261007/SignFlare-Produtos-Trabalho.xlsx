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7a189bad0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e028fb051f454eec"/>
    <x:sheet xmlns:r="http://schemas.openxmlformats.org/officeDocument/2006/relationships" name="Custos" sheetId="2" r:id="Rf2674e1196a3484e"/>
    <x:sheet xmlns:r="http://schemas.openxmlformats.org/officeDocument/2006/relationships" name="Guia" sheetId="3" r:id="R2381dc2f4c40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0.0%"/>
  </x:numFmts>
  <x:fonts count="4">
    <x:font>
      <x:sz val="11"/>
      <x:name val="Carlito"/>
    </x:font>
    <x:font>
      <x:sz val="11"/>
      <x:color rgb="FF172033"/>
      <x:name val="Arial"/>
    </x:font>
    <x:font>
      <x:b/>
      <x:sz val="18"/>
      <x:color rgb="FF17203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3F5F8"/>
      </x:patternFill>
    </x:fill>
    <x:fill>
      <x:patternFill patternType="solid">
        <x:fgColor rgb="FFFFF3D1"/>
      </x:patternFill>
    </x:fill>
  </x:fills>
  <x:borders count="2">
    <x:border/>
    <x:border>
      <x:bottom style="thin">
        <x:color rgb="FFD5DC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e54bd886b4b3e" /><Relationship Type="http://schemas.openxmlformats.org/officeDocument/2006/relationships/theme" Target="/xl/theme/theme1.xml" Id="Re4957fb3722c4b2b" /><Relationship Type="http://schemas.openxmlformats.org/officeDocument/2006/relationships/sharedStrings" Target="/xl/sharedStrings.xml" Id="R26996ce6a3894c57" /><Relationship Type="http://schemas.openxmlformats.org/officeDocument/2006/relationships/worksheet" Target="/xl/worksheets/sheet1.xml" Id="Re028fb051f454eec" /><Relationship Type="http://schemas.openxmlformats.org/officeDocument/2006/relationships/worksheet" Target="/xl/worksheets/sheet2.xml" Id="Rf2674e1196a3484e" /><Relationship Type="http://schemas.openxmlformats.org/officeDocument/2006/relationships/worksheet" Target="/xl/worksheets/sheet3.xml" Id="R2381dc2f4c404d78" /></Relationships>
</file>

<file path=xl/tables/table1.xml><?xml version="1.0" encoding="utf-8"?>
<x:table xmlns:x="http://schemas.openxmlformats.org/spreadsheetml/2006/main" id="1" name="ProdutosTable" displayName="ProdutosTable" ref="A5:P29" headerRowCount="1" totalsRowCount="0" totalsRowShown="0">
  <x:autoFilter ref="A5:P29"/>
  <x:tableColumns count="16">
    <x:tableColumn id="1" name="SKU proposto"/>
    <x:tableColumn id="2" name="Produto em inglês"/>
    <x:tableColumn id="3" name="Coleção"/>
    <x:tableColumn id="4" name="Etapa sugerida"/>
    <x:tableColumn id="5" name="Status"/>
    <x:tableColumn id="6" name="Responsável"/>
    <x:tableColumn id="7" name="Fornecedor"/>
    <x:tableColumn id="8" name="Prazo"/>
    <x:tableColumn id="9" name="Especificação proposta"/>
    <x:tableColumn id="10" name="Preço sugerido mín. USD"/>
    <x:tableColumn id="11" name="Preço sugerido máx. USD"/>
    <x:tableColumn id="12" name="Envio proposto"/>
    <x:tableColumn id="13" name="Evidência de procura"/>
    <x:tableColumn id="14" name="Validar antes de produzir"/>
    <x:tableColumn id="15" name="Observações"/>
    <x:tableColumn id="16" name="Fonte da procu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sTable" displayName="CustosTable" ref="A5:P29" headerRowCount="1" totalsRowCount="0" totalsRowShown="0">
  <x:autoFilter ref="A5:P29"/>
  <x:tableColumns count="16">
    <x:tableColumn id="1" name="SKU proposto"/>
    <x:tableColumn id="2" name="Produto em inglês"/>
    <x:tableColumn id="3" name="Preço de venda USD"/>
    <x:tableColumn id="4" name="Fabricação USD"/>
    <x:tableColumn id="5" name="Embalagem USD"/>
    <x:tableColumn id="6" name="Frete de entrada USD"/>
    <x:tableColumn id="7" name="Logística de saída USD"/>
    <x:tableColumn id="8" name="Comissão Amazon %"/>
    <x:tableColumn id="9" name="Publicidade % da receita"/>
    <x:tableColumn id="10" name="Outros custos / perdas USD"/>
    <x:tableColumn id="11" name="Custos diretos USD"/>
    <x:tableColumn id="12" name="Comissão USD"/>
    <x:tableColumn id="13" name="Publicidade USD"/>
    <x:tableColumn id="14" name="Contribuição USD"/>
    <x:tableColumn id="15" name="Margem de contribuição %"/>
    <x:tableColumn id="16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aTable" displayName="GuiaTable" ref="A5:B22" headerRowCount="1" totalsRowCount="0" totalsRowShown="0">
  <x:autoFilter ref="A5:B22"/>
  <x:tableColumns count="2">
    <x:tableColumn id="1" name="Tema"/>
    <x:tableColumn id="2" name="Orientação / 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073fa64f1a49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7910a49a4841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f1c297866e490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75" hidden="0" customWidth="1"/>
    <x:col min="2" max="2" width="32.5" hidden="0" customWidth="1"/>
    <x:col min="3" max="3" width="13.75" hidden="0" customWidth="1"/>
    <x:col min="4" max="4" width="16.25" hidden="0" customWidth="1"/>
    <x:col min="5" max="5" width="20" hidden="0" customWidth="1"/>
    <x:col min="6" max="6" width="20" hidden="0" customWidth="1"/>
    <x:col min="7" max="7" width="26.25" hidden="0" customWidth="1"/>
    <x:col min="8" max="8" width="15" hidden="0" customWidth="1"/>
    <x:col min="9" max="9" width="43.75" hidden="0" customWidth="1"/>
    <x:col min="10" max="10" width="16.8799991607666" hidden="0" customWidth="1"/>
    <x:col min="11" max="11" width="16.8799991607666" hidden="0" customWidth="1"/>
    <x:col min="12" max="12" width="36.25" hidden="0" customWidth="1"/>
    <x:col min="13" max="13" width="20" hidden="0" customWidth="1"/>
    <x:col min="14" max="14" width="50" hidden="0" customWidth="1"/>
    <x:col min="15" max="15" width="42.5" hidden="0" customWidth="1"/>
    <x:col min="16" max="16" width="48.75" hidden="0" customWidth="1"/>
  </x:cols>
  <x:sheetData>
    <x:row r="1" ht="24" customHeight="1">
      <x:c r="A1" s="2" t="str">
        <x:v>Produtos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8" customHeight="1">
      <x:c r="A2" s="1" t="str">
        <x:v>SignFlare — Amazon US — 24 propostas. Amarelo: campos para trabalhar. Preços sugeridos são hipóteses em USD.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3" customHeight="1">
      <x:c r="A5" s="7" t="str">
        <x:v>SKU proposto</x:v>
      </x:c>
      <x:c r="B5" s="7" t="str">
        <x:v>Produto em inglês</x:v>
      </x:c>
      <x:c r="C5" s="7" t="str">
        <x:v>Coleção</x:v>
      </x:c>
      <x:c r="D5" s="7" t="str">
        <x:v>Etapa sugerida</x:v>
      </x:c>
      <x:c r="E5" s="7" t="str">
        <x:v>Status</x:v>
      </x:c>
      <x:c r="F5" s="7" t="str">
        <x:v>Responsável</x:v>
      </x:c>
      <x:c r="G5" s="7" t="str">
        <x:v>Fornecedor</x:v>
      </x:c>
      <x:c r="H5" s="7" t="str">
        <x:v>Prazo</x:v>
      </x:c>
      <x:c r="I5" s="7" t="str">
        <x:v>Especificação proposta</x:v>
      </x:c>
      <x:c r="J5" s="7" t="str">
        <x:v>Preço sugerido mín. USD</x:v>
      </x:c>
      <x:c r="K5" s="7" t="str">
        <x:v>Preço sugerido máx. USD</x:v>
      </x:c>
      <x:c r="L5" s="7" t="str">
        <x:v>Envio proposto</x:v>
      </x:c>
      <x:c r="M5" s="7" t="str">
        <x:v>Evidência de procura</x:v>
      </x:c>
      <x:c r="N5" s="7" t="str">
        <x:v>Validar antes de produzir</x:v>
      </x:c>
      <x:c r="O5" s="7" t="str">
        <x:v>Observações</x:v>
      </x:c>
      <x:c r="P5" s="7" t="str">
        <x:v>Fonte da procura</x:v>
      </x:c>
    </x:row>
    <x:row r="6" ht="78" customHeight="1">
      <x:c r="A6" s="10" t="str">
        <x:v>SF-P01</x:v>
      </x:c>
      <x:c r="B6" s="10" t="str">
        <x:v>No Soliciting Door Sign</x:v>
      </x:c>
      <x:c r="C6" s="10" t="str">
        <x:v>Property</x:v>
      </x:c>
      <x:c r="D6" s="10" t="str">
        <x:v>Piloto</x:v>
      </x:c>
      <x:c r="E6" s="11" t="str">
        <x:v>A avaliar</x:v>
      </x:c>
      <x:c r="F6" s="11"/>
      <x:c r="G6" s="11"/>
      <x:c r="H6" s="12"/>
      <x:c r="I6" s="10" t="str">
        <x:v>Acrylic; 8 x 4 in; 1 sign + mounting tape</x:v>
      </x:c>
      <x:c r="J6" s="13" t="n">
        <x:v>14.99</x:v>
      </x:c>
      <x:c r="K6" s="13" t="n">
        <x:v>19.99</x:v>
      </x:c>
      <x:c r="L6" s="10" t="str">
        <x:v>Padrão; FBA após validar embalagem</x:v>
      </x:c>
      <x:c r="M6" s="10" t="str">
        <x:v>Nicho estimado</x:v>
      </x:c>
      <x:c r="N6" s="10" t="str">
        <x:v>Dimensão real em foto; testar fita em superfícies previstas.</x:v>
      </x:c>
      <x:c r="O6" s="11"/>
      <x:c r="P6" s="10" t="str">
        <x:v>https://flapen.com/research/us/patio-lawn-garden/no-soliciting-sign-for-house</x:v>
      </x:c>
    </x:row>
    <x:row r="7" ht="78" customHeight="1">
      <x:c r="A7" s="9" t="str">
        <x:v>SF-P02</x:v>
      </x:c>
      <x:c r="B7" s="9" t="str">
        <x:v>No Soliciting Yard Sign</x:v>
      </x:c>
      <x:c r="C7" s="9" t="str">
        <x:v>Property</x:v>
      </x:c>
      <x:c r="D7" s="9" t="str">
        <x:v>Piloto</x:v>
      </x:c>
      <x:c r="E7" s="11" t="str">
        <x:v>A avaliar</x:v>
      </x:c>
      <x:c r="F7" s="11"/>
      <x:c r="G7" s="11"/>
      <x:c r="H7" s="12"/>
      <x:c r="I7" s="9" t="str">
        <x:v>Corrugated plastic; 12 x 9 in; double-sided; H-stake</x:v>
      </x:c>
      <x:c r="J7" s="14" t="n">
        <x:v>16.99</x:v>
      </x:c>
      <x:c r="K7" s="14" t="n">
        <x:v>22.99</x:v>
      </x:c>
      <x:c r="L7" s="9" t="str">
        <x:v>Padrão; FBM piloto; avaliar FBA</x:v>
      </x:c>
      <x:c r="M7" s="9" t="str">
        <x:v>Nicho estimado</x:v>
      </x:c>
      <x:c r="N7" s="9" t="str">
        <x:v>Novo tamanho e estaca; testar estabilidade e embalagem.</x:v>
      </x:c>
      <x:c r="O7" s="11"/>
      <x:c r="P7" s="9" t="str">
        <x:v>https://flapen.com/research/us/patio-lawn-garden/no-soliciting-sign-for-house</x:v>
      </x:c>
    </x:row>
    <x:row r="8" ht="78" customHeight="1">
      <x:c r="A8" s="10" t="str">
        <x:v>SF-P03</x:v>
      </x:c>
      <x:c r="B8" s="10" t="str">
        <x:v>Private Property Sign Set</x:v>
      </x:c>
      <x:c r="C8" s="10" t="str">
        <x:v>Property</x:v>
      </x:c>
      <x:c r="D8" s="10" t="str">
        <x:v>Piloto</x:v>
      </x:c>
      <x:c r="E8" s="11" t="str">
        <x:v>A avaliar</x:v>
      </x:c>
      <x:c r="F8" s="11"/>
      <x:c r="G8" s="11"/>
      <x:c r="H8" s="12"/>
      <x:c r="I8" s="10" t="str">
        <x:v>Aluminum .040 in; 10 x 14 in; 2 signs; mounting holes</x:v>
      </x:c>
      <x:c r="J8" s="13" t="n">
        <x:v>19.99</x:v>
      </x:c>
      <x:c r="K8" s="13" t="n">
        <x:v>27.99</x:v>
      </x:c>
      <x:c r="L8" s="10" t="str">
        <x:v>Padrão; FBA após validar custos</x:v>
      </x:c>
      <x:c r="M8" s="10" t="str">
        <x:v>Nicho estimado</x:v>
      </x:c>
      <x:c r="N8" s="10" t="str">
        <x:v>Novo blank .040 a cotar; não presumir custo do .080; fixadores não incluídos.</x:v>
      </x:c>
      <x:c r="O8" s="11"/>
      <x:c r="P8" s="10" t="str">
        <x:v>https://flapen.com/research/us/patio-lawn-garden/no-trespassing-signs-private-property</x:v>
      </x:c>
    </x:row>
    <x:row r="9" ht="78" customHeight="1">
      <x:c r="A9" s="9" t="str">
        <x:v>SF-P04</x:v>
      </x:c>
      <x:c r="B9" s="9" t="str">
        <x:v>No Parking Sign Set</x:v>
      </x:c>
      <x:c r="C9" s="9" t="str">
        <x:v>Property</x:v>
      </x:c>
      <x:c r="D9" s="9" t="str">
        <x:v>Piloto</x:v>
      </x:c>
      <x:c r="E9" s="11" t="str">
        <x:v>A avaliar</x:v>
      </x:c>
      <x:c r="F9" s="11"/>
      <x:c r="G9" s="11"/>
      <x:c r="H9" s="12"/>
      <x:c r="I9" s="9" t="str">
        <x:v>Aluminum .040 in; 10 x 14 in; 2 signs; mounting holes</x:v>
      </x:c>
      <x:c r="J9" s="14" t="n">
        <x:v>19.99</x:v>
      </x:c>
      <x:c r="K9" s="14" t="n">
        <x:v>29.99</x:v>
      </x:c>
      <x:c r="L9" s="9" t="str">
        <x:v>Padrão; FBA após validar custos</x:v>
      </x:c>
      <x:c r="M9" s="9" t="str">
        <x:v>Nicho estimado</x:v>
      </x:c>
      <x:c r="N9" s="9" t="str">
        <x:v>Nova espessura .040; sem alegação refletiva; fixadores não incluídos.</x:v>
      </x:c>
      <x:c r="O9" s="11"/>
      <x:c r="P9" s="9" t="str">
        <x:v>https://flapen.com/research/us/patio-lawn-garden/no-parking-signs</x:v>
      </x:c>
    </x:row>
    <x:row r="10" ht="78" customHeight="1">
      <x:c r="A10" s="10" t="str">
        <x:v>SF-C01</x:v>
      </x:c>
      <x:c r="B10" s="10" t="str">
        <x:v>Custom Vinyl Lettering</x:v>
      </x:c>
      <x:c r="C10" s="10" t="str">
        <x:v>Custom</x:v>
      </x:c>
      <x:c r="D10" s="10" t="str">
        <x:v>Piloto</x:v>
      </x:c>
      <x:c r="E10" s="11" t="str">
        <x:v>A avaliar</x:v>
      </x:c>
      <x:c r="F10" s="11"/>
      <x:c r="G10" s="11"/>
      <x:c r="H10" s="12"/>
      <x:c r="I10" s="10" t="str">
        <x:v>Cut vinyl; text block up to 18 x 4 in; transfer tape + squeegee</x:v>
      </x:c>
      <x:c r="J10" s="13" t="n">
        <x:v>19.99</x:v>
      </x:c>
      <x:c r="K10" s="13" t="n">
        <x:v>29.99</x:v>
      </x:c>
      <x:c r="L10" s="10" t="str">
        <x:v>Personalizado; Amazon Custom / FBM</x:v>
      </x:c>
      <x:c r="M10" s="10" t="str">
        <x:v>Nicho estimado</x:v>
      </x:c>
      <x:c r="N10" s="10" t="str">
        <x:v>Definir tamanho total, altura das letras e limite de caracteres; testar aplicação.</x:v>
      </x:c>
      <x:c r="O10" s="11"/>
      <x:c r="P10" s="10" t="str">
        <x:v>https://flapen.com/research/us/automotive/custom-decal</x:v>
      </x:c>
    </x:row>
    <x:row r="11" ht="78" customHeight="1">
      <x:c r="A11" s="9" t="str">
        <x:v>SF-C02</x:v>
      </x:c>
      <x:c r="B11" s="9" t="str">
        <x:v>Custom Business Logo Decal</x:v>
      </x:c>
      <x:c r="C11" s="9" t="str">
        <x:v>Custom</x:v>
      </x:c>
      <x:c r="D11" s="9" t="str">
        <x:v>Piloto</x:v>
      </x:c>
      <x:c r="E11" s="11" t="str">
        <x:v>A avaliar</x:v>
      </x:c>
      <x:c r="F11" s="11"/>
      <x:c r="G11" s="11"/>
      <x:c r="H11" s="12"/>
      <x:c r="I11" s="9" t="str">
        <x:v>Printed vinyl; up to 12 x 12 in; 1 decal + squeegee</x:v>
      </x:c>
      <x:c r="J11" s="14" t="n">
        <x:v>24.99</x:v>
      </x:c>
      <x:c r="K11" s="14" t="n">
        <x:v>39.99</x:v>
      </x:c>
      <x:c r="L11" s="9" t="str">
        <x:v>Personalizado; Amazon Custom / FBM</x:v>
      </x:c>
      <x:c r="M11" s="9" t="str">
        <x:v>Nicho estimado</x:v>
      </x:c>
      <x:c r="N11" s="9" t="str">
        <x:v>Validar resolução e direitos do arquivo; separar aplicação interna e externa.</x:v>
      </x:c>
      <x:c r="O11" s="11"/>
      <x:c r="P11" s="9" t="str">
        <x:v>https://flapen.com/research/us/automotive/custom-decal</x:v>
      </x:c>
    </x:row>
    <x:row r="12" ht="78" customHeight="1">
      <x:c r="A12" s="10" t="str">
        <x:v>SF-C03</x:v>
      </x:c>
      <x:c r="B12" s="10" t="str">
        <x:v>Custom Boat Registration Lettering</x:v>
      </x:c>
      <x:c r="C12" s="10" t="str">
        <x:v>Custom</x:v>
      </x:c>
      <x:c r="D12" s="10" t="str">
        <x:v>Piloto</x:v>
      </x:c>
      <x:c r="E12" s="11" t="str">
        <x:v>A avaliar</x:v>
      </x:c>
      <x:c r="F12" s="11"/>
      <x:c r="G12" s="11"/>
      <x:c r="H12" s="12"/>
      <x:c r="I12" s="10" t="str">
        <x:v>Outdoor cut vinyl; 3 in character height; matching pair</x:v>
      </x:c>
      <x:c r="J12" s="13" t="n">
        <x:v>19.99</x:v>
      </x:c>
      <x:c r="K12" s="13" t="n">
        <x:v>29.99</x:v>
      </x:c>
      <x:c r="L12" s="10" t="str">
        <x:v>Personalizado; Amazon Custom / FBM</x:v>
      </x:c>
      <x:c r="M12" s="10" t="str">
        <x:v>Nicho estimado</x:v>
      </x:c>
      <x:c r="N12" s="10" t="str">
        <x:v>Novo uso marinho a testar; verificar regras locais e contraste; pico primavera/verão.</x:v>
      </x:c>
      <x:c r="O12" s="11"/>
      <x:c r="P12" s="10" t="str">
        <x:v>https://flapen.com/research/us/automotive/boat-numbers-and-letters</x:v>
      </x:c>
    </x:row>
    <x:row r="13" ht="78" customHeight="1">
      <x:c r="A13" s="9" t="str">
        <x:v>SF-H01</x:v>
      </x:c>
      <x:c r="B13" s="9" t="str">
        <x:v>Patterned Frosted Window Film Kit</x:v>
      </x:c>
      <x:c r="C13" s="9" t="str">
        <x:v>Spaces</x:v>
      </x:c>
      <x:c r="D13" s="9" t="str">
        <x:v>Piloto</x:v>
      </x:c>
      <x:c r="E13" s="11" t="str">
        <x:v>A avaliar</x:v>
      </x:c>
      <x:c r="F13" s="11"/>
      <x:c r="G13" s="11"/>
      <x:c r="H13" s="12"/>
      <x:c r="I13" s="9" t="str">
        <x:v>Adhesive frosted vinyl; 17.5 x 78.7 in roll + squeegee</x:v>
      </x:c>
      <x:c r="J13" s="14" t="n">
        <x:v>19.99</x:v>
      </x:c>
      <x:c r="K13" s="14" t="n">
        <x:v>29.99</x:v>
      </x:c>
      <x:c r="L13" s="9" t="str">
        <x:v>Padrão; FBM piloto; avaliar FBA</x:v>
      </x:c>
      <x:c r="M13" s="9" t="str">
        <x:v>Nicho adjacente</x:v>
      </x:c>
      <x:c r="N13" s="9" t="str">
        <x:v>Não é static cling; testar vidro, privacidade e instalação; preço acima de genéricos.</x:v>
      </x:c>
      <x:c r="O13" s="11"/>
      <x:c r="P13" s="9" t="str">
        <x:v>https://flapen.com/research/us/home-kitchen/window-privacy-film</x:v>
      </x:c>
    </x:row>
    <x:row r="14" ht="78" customHeight="1">
      <x:c r="A14" s="10" t="str">
        <x:v>SF-B01</x:v>
      </x:c>
      <x:c r="B14" s="10" t="str">
        <x:v>Custom Business Hours Window Decal</x:v>
      </x:c>
      <x:c r="C14" s="10" t="str">
        <x:v>Business</x:v>
      </x:c>
      <x:c r="D14" s="10" t="str">
        <x:v>Expansão</x:v>
      </x:c>
      <x:c r="E14" s="11" t="str">
        <x:v>A avaliar</x:v>
      </x:c>
      <x:c r="F14" s="11"/>
      <x:c r="G14" s="11"/>
      <x:c r="H14" s="12"/>
      <x:c r="I14" s="10" t="str">
        <x:v>Cut vinyl; 12 x 18 in; transfer tape + squeegee</x:v>
      </x:c>
      <x:c r="J14" s="13" t="n">
        <x:v>24.99</x:v>
      </x:c>
      <x:c r="K14" s="13" t="n">
        <x:v>39.99</x:v>
      </x:c>
      <x:c r="L14" s="10" t="str">
        <x:v>Personalizado; Amazon Custom / FBM</x:v>
      </x:c>
      <x:c r="M14" s="10" t="str">
        <x:v>Não medida</x:v>
      </x:c>
      <x:c r="N14" s="10" t="str">
        <x:v>Validar legibilidade e lado do vidro; procura específica ainda não medida.</x:v>
      </x:c>
      <x:c r="O14" s="11"/>
      <x:c r="P14" s="10" t="str">
        <x:v>https://sell.amazon.com/tools/product-opportunity-explorer</x:v>
      </x:c>
    </x:row>
    <x:row r="15" ht="78" customHeight="1">
      <x:c r="A15" s="9" t="str">
        <x:v>SF-B02</x:v>
      </x:c>
      <x:c r="B15" s="9" t="str">
        <x:v>Open / Closed Reversible Sign</x:v>
      </x:c>
      <x:c r="C15" s="9" t="str">
        <x:v>Business</x:v>
      </x:c>
      <x:c r="D15" s="9" t="str">
        <x:v>Expansão</x:v>
      </x:c>
      <x:c r="E15" s="11" t="str">
        <x:v>A avaliar</x:v>
      </x:c>
      <x:c r="F15" s="11"/>
      <x:c r="G15" s="11"/>
      <x:c r="H15" s="12"/>
      <x:c r="I15" s="9" t="str">
        <x:v>Acrylic; 10 x 5 in; double-sided; hanging cord</x:v>
      </x:c>
      <x:c r="J15" s="14" t="n">
        <x:v>14.99</x:v>
      </x:c>
      <x:c r="K15" s="14" t="n">
        <x:v>22.99</x:v>
      </x:c>
      <x:c r="L15" s="9" t="str">
        <x:v>Padrão; FBA após validar custos</x:v>
      </x:c>
      <x:c r="M15" s="9" t="str">
        <x:v>Não medida</x:v>
      </x:c>
      <x:c r="N15" s="9" t="str">
        <x:v>Procura não medida; testar impressão, cordão e proteção contra riscos.</x:v>
      </x:c>
      <x:c r="O15" s="11"/>
      <x:c r="P15" s="9" t="str">
        <x:v>https://sell.amazon.com/tools/product-opportunity-explorer</x:v>
      </x:c>
    </x:row>
    <x:row r="16" ht="78" customHeight="1">
      <x:c r="A16" s="10" t="str">
        <x:v>SF-B03</x:v>
      </x:c>
      <x:c r="B16" s="10" t="str">
        <x:v>Custom QR Code Counter Sign</x:v>
      </x:c>
      <x:c r="C16" s="10" t="str">
        <x:v>Business</x:v>
      </x:c>
      <x:c r="D16" s="10" t="str">
        <x:v>Expansão</x:v>
      </x:c>
      <x:c r="E16" s="11" t="str">
        <x:v>A avaliar</x:v>
      </x:c>
      <x:c r="F16" s="11"/>
      <x:c r="G16" s="11"/>
      <x:c r="H16" s="12"/>
      <x:c r="I16" s="10" t="str">
        <x:v>Acrylic; 5 x 7 in; printed panel + base</x:v>
      </x:c>
      <x:c r="J16" s="13" t="n">
        <x:v>24.99</x:v>
      </x:c>
      <x:c r="K16" s="13" t="n">
        <x:v>39.99</x:v>
      </x:c>
      <x:c r="L16" s="10" t="str">
        <x:v>Personalizado; Amazon Custom / FBM</x:v>
      </x:c>
      <x:c r="M16" s="10" t="str">
        <x:v>Não medida</x:v>
      </x:c>
      <x:c r="N16" s="10" t="str">
        <x:v>Base nova a desenvolver; testar leitura antes do envio; sem pedidos de reviews incentivados.</x:v>
      </x:c>
      <x:c r="O16" s="11"/>
      <x:c r="P16" s="10" t="str">
        <x:v>https://sell.amazon.com/tools/product-opportunity-explorer</x:v>
      </x:c>
    </x:row>
    <x:row r="17" ht="78" customHeight="1">
      <x:c r="A17" s="9" t="str">
        <x:v>SF-B04</x:v>
      </x:c>
      <x:c r="B17" s="9" t="str">
        <x:v>Restroom Door Sign Set</x:v>
      </x:c>
      <x:c r="C17" s="9" t="str">
        <x:v>Business</x:v>
      </x:c>
      <x:c r="D17" s="9" t="str">
        <x:v>Expansão</x:v>
      </x:c>
      <x:c r="E17" s="11" t="str">
        <x:v>A avaliar</x:v>
      </x:c>
      <x:c r="F17" s="11"/>
      <x:c r="G17" s="11"/>
      <x:c r="H17" s="12"/>
      <x:c r="I17" s="9" t="str">
        <x:v>Acrylic; 6 x 6 in; 2 panels + mounting tape</x:v>
      </x:c>
      <x:c r="J17" s="14" t="n">
        <x:v>19.99</x:v>
      </x:c>
      <x:c r="K17" s="14" t="n">
        <x:v>29.99</x:v>
      </x:c>
      <x:c r="L17" s="9" t="str">
        <x:v>Padrão; FBA após validar custos</x:v>
      </x:c>
      <x:c r="M17" s="9" t="str">
        <x:v>Não medida</x:v>
      </x:c>
      <x:c r="N17" s="9" t="str">
        <x:v>Não anunciar ADA compliant; braille e relevo não previstos; demanda não medida.</x:v>
      </x:c>
      <x:c r="O17" s="11"/>
      <x:c r="P17" s="9" t="str">
        <x:v>https://sell.amazon.com/tools/product-opportunity-explorer</x:v>
      </x:c>
    </x:row>
    <x:row r="18" ht="78" customHeight="1">
      <x:c r="A18" s="10" t="str">
        <x:v>SF-B05</x:v>
      </x:c>
      <x:c r="B18" s="10" t="str">
        <x:v>Open Flag</x:v>
      </x:c>
      <x:c r="C18" s="10" t="str">
        <x:v>Business</x:v>
      </x:c>
      <x:c r="D18" s="10" t="str">
        <x:v>Expansão</x:v>
      </x:c>
      <x:c r="E18" s="11" t="str">
        <x:v>A avaliar</x:v>
      </x:c>
      <x:c r="F18" s="11"/>
      <x:c r="G18" s="11"/>
      <x:c r="H18" s="12"/>
      <x:c r="I18" s="10" t="str">
        <x:v>Printed polyester; 3 x 5 ft; reinforced edge; 2 grommets</x:v>
      </x:c>
      <x:c r="J18" s="13" t="n">
        <x:v>19.99</x:v>
      </x:c>
      <x:c r="K18" s="13" t="n">
        <x:v>29.99</x:v>
      </x:c>
      <x:c r="L18" s="10" t="str">
        <x:v>Padrão; FBA após validar embalagem</x:v>
      </x:c>
      <x:c r="M18" s="10" t="str">
        <x:v>Nicho estimado</x:v>
      </x:c>
      <x:c r="N18" s="10" t="str">
        <x:v>Novo formato e costura a cotar; não confundir com feather flag 10ft de US$169,99.</x:v>
      </x:c>
      <x:c r="O18" s="11"/>
      <x:c r="P18" s="10" t="str">
        <x:v>https://flapen.com/research/us/patio-lawn-garden/open-flag</x:v>
      </x:c>
    </x:row>
    <x:row r="19" ht="78" customHeight="1">
      <x:c r="A19" s="9" t="str">
        <x:v>SF-B06</x:v>
      </x:c>
      <x:c r="B19" s="9" t="str">
        <x:v>Grand Opening Vinyl Banner</x:v>
      </x:c>
      <x:c r="C19" s="9" t="str">
        <x:v>Business</x:v>
      </x:c>
      <x:c r="D19" s="9" t="str">
        <x:v>Expansão</x:v>
      </x:c>
      <x:c r="E19" s="11" t="str">
        <x:v>A avaliar</x:v>
      </x:c>
      <x:c r="F19" s="11"/>
      <x:c r="G19" s="11"/>
      <x:c r="H19" s="12"/>
      <x:c r="I19" s="9" t="str">
        <x:v>13 oz vinyl; 2 x 6 ft; hemmed edges; 6 grommets</x:v>
      </x:c>
      <x:c r="J19" s="14" t="n">
        <x:v>29.99</x:v>
      </x:c>
      <x:c r="K19" s="14" t="n">
        <x:v>44.99</x:v>
      </x:c>
      <x:c r="L19" s="9" t="str">
        <x:v>Padrão; FBM piloto; avaliar FBA</x:v>
      </x:c>
      <x:c r="M19" s="9" t="str">
        <x:v>Não medida</x:v>
      </x:c>
      <x:c r="N19" s="9" t="str">
        <x:v>Preço FBR de US$7/sq ft implicaria US$84 no varejo; recotar custo em lote.</x:v>
      </x:c>
      <x:c r="O19" s="11"/>
      <x:c r="P19" s="9" t="str">
        <x:v>https://sell.amazon.com/tools/product-opportunity-explorer</x:v>
      </x:c>
    </x:row>
    <x:row r="20" ht="78" customHeight="1">
      <x:c r="A20" s="10" t="str">
        <x:v>SF-P05</x:v>
      </x:c>
      <x:c r="B20" s="10" t="str">
        <x:v>Video Surveillance Sign Set</x:v>
      </x:c>
      <x:c r="C20" s="10" t="str">
        <x:v>Property</x:v>
      </x:c>
      <x:c r="D20" s="10" t="str">
        <x:v>Expansão</x:v>
      </x:c>
      <x:c r="E20" s="11" t="str">
        <x:v>A avaliar</x:v>
      </x:c>
      <x:c r="F20" s="11"/>
      <x:c r="G20" s="11"/>
      <x:c r="H20" s="12"/>
      <x:c r="I20" s="10" t="str">
        <x:v>Aluminum .040 in; 10 x 7 in; 2 signs</x:v>
      </x:c>
      <x:c r="J20" s="13" t="n">
        <x:v>17.99</x:v>
      </x:c>
      <x:c r="K20" s="13" t="n">
        <x:v>24.99</x:v>
      </x:c>
      <x:c r="L20" s="10" t="str">
        <x:v>Padrão; FBA após validar custos</x:v>
      </x:c>
      <x:c r="M20" s="10" t="str">
        <x:v>Não medida</x:v>
      </x:c>
      <x:c r="N20" s="10" t="str">
        <x:v>Novo blank .040; sem marcas de alarmes; demanda específica não medida.</x:v>
      </x:c>
      <x:c r="O20" s="11"/>
      <x:c r="P20" s="10" t="str">
        <x:v>https://sell.amazon.com/tools/product-opportunity-explorer</x:v>
      </x:c>
    </x:row>
    <x:row r="21" ht="78" customHeight="1">
      <x:c r="A21" s="9" t="str">
        <x:v>SF-P06</x:v>
      </x:c>
      <x:c r="B21" s="9" t="str">
        <x:v>Please Close the Gate Sign Set</x:v>
      </x:c>
      <x:c r="C21" s="9" t="str">
        <x:v>Property</x:v>
      </x:c>
      <x:c r="D21" s="9" t="str">
        <x:v>Expansão</x:v>
      </x:c>
      <x:c r="E21" s="11" t="str">
        <x:v>A avaliar</x:v>
      </x:c>
      <x:c r="F21" s="11"/>
      <x:c r="G21" s="11"/>
      <x:c r="H21" s="12"/>
      <x:c r="I21" s="9" t="str">
        <x:v>Acrylic; 8 x 4 in; 2 signs; mounting holes</x:v>
      </x:c>
      <x:c r="J21" s="14" t="n">
        <x:v>14.99</x:v>
      </x:c>
      <x:c r="K21" s="14" t="n">
        <x:v>21.99</x:v>
      </x:c>
      <x:c r="L21" s="9" t="str">
        <x:v>Padrão; FBA após validar custos</x:v>
      </x:c>
      <x:c r="M21" s="9" t="str">
        <x:v>Não medida</x:v>
      </x:c>
      <x:c r="N21" s="9" t="str">
        <x:v>Testar uso externo; fixadores não incluídos; demanda não medida.</x:v>
      </x:c>
      <x:c r="O21" s="11"/>
      <x:c r="P21" s="9" t="str">
        <x:v>https://sell.amazon.com/tools/product-opportunity-explorer</x:v>
      </x:c>
    </x:row>
    <x:row r="22" ht="78" customHeight="1">
      <x:c r="A22" s="10" t="str">
        <x:v>SF-H02</x:v>
      </x:c>
      <x:c r="B22" s="10" t="str">
        <x:v>Baby Sleeping Door Hanger</x:v>
      </x:c>
      <x:c r="C22" s="10" t="str">
        <x:v>Spaces</x:v>
      </x:c>
      <x:c r="D22" s="10" t="str">
        <x:v>Expansão</x:v>
      </x:c>
      <x:c r="E22" s="11" t="str">
        <x:v>A avaliar</x:v>
      </x:c>
      <x:c r="F22" s="11"/>
      <x:c r="G22" s="11"/>
      <x:c r="H22" s="12"/>
      <x:c r="I22" s="10" t="str">
        <x:v>PVC foam board; 8 x 5 in; hanging cord</x:v>
      </x:c>
      <x:c r="J22" s="13" t="n">
        <x:v>12.99</x:v>
      </x:c>
      <x:c r="K22" s="13" t="n">
        <x:v>19.99</x:v>
      </x:c>
      <x:c r="L22" s="10" t="str">
        <x:v>Padrão; FBA após validar custos</x:v>
      </x:c>
      <x:c r="M22" s="10" t="str">
        <x:v>Não medida</x:v>
      </x:c>
      <x:c r="N22" s="10" t="str">
        <x:v>Não apresentar como produto de segurança infantil; demanda específica não medida.</x:v>
      </x:c>
      <x:c r="O22" s="11"/>
      <x:c r="P22" s="10" t="str">
        <x:v>https://sell.amazon.com/tools/product-opportunity-explorer</x:v>
      </x:c>
    </x:row>
    <x:row r="23" ht="78" customHeight="1">
      <x:c r="A23" s="9" t="str">
        <x:v>SF-H03</x:v>
      </x:c>
      <x:c r="B23" s="9" t="str">
        <x:v>Custom House Address Plaque</x:v>
      </x:c>
      <x:c r="C23" s="9" t="str">
        <x:v>Spaces</x:v>
      </x:c>
      <x:c r="D23" s="9" t="str">
        <x:v>Expansão</x:v>
      </x:c>
      <x:c r="E23" s="11" t="str">
        <x:v>A avaliar</x:v>
      </x:c>
      <x:c r="F23" s="11"/>
      <x:c r="G23" s="11"/>
      <x:c r="H23" s="12"/>
      <x:c r="I23" s="9" t="str">
        <x:v>Acrylic; 12 x 6 in; mounting holes; 1 plaque</x:v>
      </x:c>
      <x:c r="J23" s="14" t="n">
        <x:v>29.99</x:v>
      </x:c>
      <x:c r="K23" s="14" t="n">
        <x:v>44.99</x:v>
      </x:c>
      <x:c r="L23" s="9" t="str">
        <x:v>Personalizado; Amazon Custom / FBM</x:v>
      </x:c>
      <x:c r="M23" s="9" t="str">
        <x:v>Não medida</x:v>
      </x:c>
      <x:c r="N23" s="9" t="str">
        <x:v>Novo tamanho a testar; uso externo precisa de validação; fixadores não incluídos.</x:v>
      </x:c>
      <x:c r="O23" s="11"/>
      <x:c r="P23" s="9" t="str">
        <x:v>https://sell.amazon.com/tools/product-opportunity-explorer</x:v>
      </x:c>
    </x:row>
    <x:row r="24" ht="78" customHeight="1">
      <x:c r="A24" s="10" t="str">
        <x:v>SF-H04</x:v>
      </x:c>
      <x:c r="B24" s="10" t="str">
        <x:v>Custom Family Name Sign</x:v>
      </x:c>
      <x:c r="C24" s="10" t="str">
        <x:v>Spaces</x:v>
      </x:c>
      <x:c r="D24" s="10" t="str">
        <x:v>Expansão</x:v>
      </x:c>
      <x:c r="E24" s="11" t="str">
        <x:v>A avaliar</x:v>
      </x:c>
      <x:c r="F24" s="11"/>
      <x:c r="G24" s="11"/>
      <x:c r="H24" s="12"/>
      <x:c r="I24" s="10" t="str">
        <x:v>Acrylic; 16 x 8 in; 1 panel; hanging holes</x:v>
      </x:c>
      <x:c r="J24" s="13" t="n">
        <x:v>34.99</x:v>
      </x:c>
      <x:c r="K24" s="13" t="n">
        <x:v>54.99</x:v>
      </x:c>
      <x:c r="L24" s="10" t="str">
        <x:v>Personalizado; Amazon Custom / FBM</x:v>
      </x:c>
      <x:c r="M24" s="10" t="str">
        <x:v>Não medida</x:v>
      </x:c>
      <x:c r="N24" s="10" t="str">
        <x:v>Evitar fontes sem licença; testar embalagem; demanda não medida.</x:v>
      </x:c>
      <x:c r="O24" s="11"/>
      <x:c r="P24" s="10" t="str">
        <x:v>https://sell.amazon.com/tools/product-opportunity-explorer</x:v>
      </x:c>
    </x:row>
    <x:row r="25" ht="78" customHeight="1">
      <x:c r="A25" s="9" t="str">
        <x:v>SF-C04</x:v>
      </x:c>
      <x:c r="B25" s="9" t="str">
        <x:v>Custom Vehicle Magnet Pair</x:v>
      </x:c>
      <x:c r="C25" s="9" t="str">
        <x:v>Custom</x:v>
      </x:c>
      <x:c r="D25" s="9" t="str">
        <x:v>Expansão</x:v>
      </x:c>
      <x:c r="E25" s="11" t="str">
        <x:v>A avaliar</x:v>
      </x:c>
      <x:c r="F25" s="11"/>
      <x:c r="G25" s="11"/>
      <x:c r="H25" s="12"/>
      <x:c r="I25" s="9" t="str">
        <x:v>30 mil magnetic sheet; 12 x 18 in; 2 magnets</x:v>
      </x:c>
      <x:c r="J25" s="14" t="n">
        <x:v>59.99</x:v>
      </x:c>
      <x:c r="K25" s="14" t="n">
        <x:v>89.99</x:v>
      </x:c>
      <x:c r="L25" s="9" t="str">
        <x:v>Personalizado; Amazon Custom / FBM</x:v>
      </x:c>
      <x:c r="M25" s="9" t="str">
        <x:v>Nicho adjacente</x:v>
      </x:c>
      <x:c r="N25" s="9" t="str">
        <x:v>Somente metal ferromagnético; validar 30 mil: fonte escreve .30 mil em um card e 30PT em outro.</x:v>
      </x:c>
      <x:c r="O25" s="11"/>
      <x:c r="P25" s="9" t="str">
        <x:v>https://flapen.com/research/us/automotive/custom-decal</x:v>
      </x:c>
    </x:row>
    <x:row r="26" ht="78" customHeight="1">
      <x:c r="A26" s="10" t="str">
        <x:v>SF-G01</x:v>
      </x:c>
      <x:c r="B26" s="10" t="str">
        <x:v>OPEN LED Neon Sign</x:v>
      </x:c>
      <x:c r="C26" s="10" t="str">
        <x:v>Glow</x:v>
      </x:c>
      <x:c r="D26" s="10" t="str">
        <x:v>Condicional</x:v>
      </x:c>
      <x:c r="E26" s="11" t="str">
        <x:v>A avaliar</x:v>
      </x:c>
      <x:c r="F26" s="11"/>
      <x:c r="G26" s="11"/>
      <x:c r="H26" s="12"/>
      <x:c r="I26" s="10" t="str">
        <x:v>LED neon flex on acrylic; 16 x 8 in; power supply + dimmer</x:v>
      </x:c>
      <x:c r="J26" s="13" t="n">
        <x:v>59.99</x:v>
      </x:c>
      <x:c r="K26" s="13" t="n">
        <x:v>89.99</x:v>
      </x:c>
      <x:c r="L26" s="10" t="str">
        <x:v>Padrão; FBM piloto; FBA após validação</x:v>
      </x:c>
      <x:c r="M26" s="10" t="str">
        <x:v>Nicho adjacente</x:v>
      </x:c>
      <x:c r="N26" s="10" t="str">
        <x:v>Demanda de OPEN não medida; fonte é Good Vibes; custo, fonte elétrica e embalagem a validar.</x:v>
      </x:c>
      <x:c r="O26" s="11"/>
      <x:c r="P26" s="10" t="str">
        <x:v>https://flapen.com/research/us/tools-home-improvement/good-vibes-neon-sign</x:v>
      </x:c>
    </x:row>
    <x:row r="27" ht="78" customHeight="1">
      <x:c r="A27" s="9" t="str">
        <x:v>SF-G02</x:v>
      </x:c>
      <x:c r="B27" s="9" t="str">
        <x:v>Coffee LED Neon Sign</x:v>
      </x:c>
      <x:c r="C27" s="9" t="str">
        <x:v>Glow</x:v>
      </x:c>
      <x:c r="D27" s="9" t="str">
        <x:v>Condicional</x:v>
      </x:c>
      <x:c r="E27" s="11" t="str">
        <x:v>A avaliar</x:v>
      </x:c>
      <x:c r="F27" s="11"/>
      <x:c r="G27" s="11"/>
      <x:c r="H27" s="12"/>
      <x:c r="I27" s="9" t="str">
        <x:v>LED neon flex on acrylic; 12 x 10 in; power supply + dimmer</x:v>
      </x:c>
      <x:c r="J27" s="14" t="n">
        <x:v>49.99</x:v>
      </x:c>
      <x:c r="K27" s="14" t="n">
        <x:v>79.99</x:v>
      </x:c>
      <x:c r="L27" s="9" t="str">
        <x:v>Padrão; FBM piloto; FBA após validação</x:v>
      </x:c>
      <x:c r="M27" s="9" t="str">
        <x:v>Nicho adjacente</x:v>
      </x:c>
      <x:c r="N27" s="9" t="str">
        <x:v>FBR 9 x 10 custa US$133,99 no varejo; novo preço depende de custo em lote.</x:v>
      </x:c>
      <x:c r="O27" s="11"/>
      <x:c r="P27" s="9" t="str">
        <x:v>https://flapen.com/research/us/tools-home-improvement/good-vibes-neon-sign</x:v>
      </x:c>
    </x:row>
    <x:row r="28" ht="78" customHeight="1">
      <x:c r="A28" s="10" t="str">
        <x:v>SF-G03</x:v>
      </x:c>
      <x:c r="B28" s="10" t="str">
        <x:v>Custom Name LED Neon Sign</x:v>
      </x:c>
      <x:c r="C28" s="10" t="str">
        <x:v>Glow</x:v>
      </x:c>
      <x:c r="D28" s="10" t="str">
        <x:v>Condicional</x:v>
      </x:c>
      <x:c r="E28" s="11" t="str">
        <x:v>A avaliar</x:v>
      </x:c>
      <x:c r="F28" s="11"/>
      <x:c r="G28" s="11"/>
      <x:c r="H28" s="12"/>
      <x:c r="I28" s="10" t="str">
        <x:v>LED neon flex on acrylic; maximum 20 x 10 in; power supply + dimmer</x:v>
      </x:c>
      <x:c r="J28" s="13" t="n">
        <x:v>89.99</x:v>
      </x:c>
      <x:c r="K28" s="13" t="n">
        <x:v>149.99</x:v>
      </x:c>
      <x:c r="L28" s="10" t="str">
        <x:v>Personalizado; Amazon Custom / FBM</x:v>
      </x:c>
      <x:c r="M28" s="10" t="str">
        <x:v>Nicho adjacente</x:v>
      </x:c>
      <x:c r="N28" s="10" t="str">
        <x:v>Novo preço depende de custo; validar arquivo, comprimento, fonte elétrica e embalagem.</x:v>
      </x:c>
      <x:c r="O28" s="11"/>
      <x:c r="P28" s="10" t="str">
        <x:v>https://flapen.com/research/us/tools-home-improvement/good-vibes-neon-sign</x:v>
      </x:c>
    </x:row>
    <x:row r="29" ht="78" customHeight="1">
      <x:c r="A29" s="9" t="str">
        <x:v>SF-B07</x:v>
      </x:c>
      <x:c r="B29" s="9" t="str">
        <x:v>Custom Retractable Banner Kit</x:v>
      </x:c>
      <x:c r="C29" s="9" t="str">
        <x:v>Business</x:v>
      </x:c>
      <x:c r="D29" s="9" t="str">
        <x:v>Condicional</x:v>
      </x:c>
      <x:c r="E29" s="11" t="str">
        <x:v>A avaliar</x:v>
      </x:c>
      <x:c r="F29" s="11"/>
      <x:c r="G29" s="11"/>
      <x:c r="H29" s="12"/>
      <x:c r="I29" s="9" t="str">
        <x:v>33 x 80 in graphic; aluminum stand; pole + carry bag</x:v>
      </x:c>
      <x:c r="J29" s="14" t="n">
        <x:v>119.99</x:v>
      </x:c>
      <x:c r="K29" s="14" t="n">
        <x:v>169.99</x:v>
      </x:c>
      <x:c r="L29" s="9" t="str">
        <x:v>Personalizado; Amazon Custom / FBM</x:v>
      </x:c>
      <x:c r="M29" s="9" t="str">
        <x:v>Não medida</x:v>
      </x:c>
      <x:c r="N29" s="9" t="str">
        <x:v>FBR US$117,71 no varejo; frete longo, mecanismo e margem exigem validação.</x:v>
      </x:c>
      <x:c r="O29" s="11"/>
      <x:c r="P29" s="9" t="str">
        <x:v>https://sell.amazon.com/tools/product-opportunity-explorer</x:v>
      </x:c>
    </x:row>
  </x:sheetData>
  <x:dataValidations count="2">
    <x:dataValidation type="list" sqref="E6:E29">
      <x:formula1>"A avaliar,Em pesquisa,Em cotação,Em amostra,Pronto para lançar,Publicado,Pausado,Descartado"</x:formula1>
    </x:dataValidation>
    <x:dataValidation type="list" sqref="D6:D29">
      <x:formula1>"Piloto,Expansão,Condicional"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073fa64f1a49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75" hidden="0" customWidth="1"/>
    <x:col min="2" max="2" width="32.5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6.25" hidden="0" customWidth="1"/>
    <x:col min="7" max="7" width="16.8799991607666" hidden="0" customWidth="1"/>
    <x:col min="8" max="8" width="15.630000114440918" hidden="0" customWidth="1"/>
    <x:col min="9" max="9" width="17.5" hidden="0" customWidth="1"/>
    <x:col min="10" max="10" width="16.8799991607666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14" max="14" width="17.5" hidden="0" customWidth="1"/>
    <x:col min="15" max="15" width="18.1299991607666" hidden="0" customWidth="1"/>
    <x:col min="16" max="16" width="42.5" hidden="0" customWidth="1"/>
  </x:cols>
  <x:sheetData>
    <x:row r="1" ht="24" customHeight="1">
      <x:c r="A1" s="2" t="str">
        <x:v>Custos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8" customHeight="1">
      <x:c r="A2" s="1" t="str">
        <x:v>USD por unidade vendável (kit quando aplicável). Preencha os campos amarelos; use 0 para custo inexistente.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3" customHeight="1">
      <x:c r="A5" s="7" t="str">
        <x:v>SKU proposto</x:v>
      </x:c>
      <x:c r="B5" s="7" t="str">
        <x:v>Produto em inglês</x:v>
      </x:c>
      <x:c r="C5" s="7" t="str">
        <x:v>Preço de venda USD</x:v>
      </x:c>
      <x:c r="D5" s="7" t="str">
        <x:v>Fabricação USD</x:v>
      </x:c>
      <x:c r="E5" s="7" t="str">
        <x:v>Embalagem USD</x:v>
      </x:c>
      <x:c r="F5" s="7" t="str">
        <x:v>Frete de entrada USD</x:v>
      </x:c>
      <x:c r="G5" s="7" t="str">
        <x:v>Logística de saída USD</x:v>
      </x:c>
      <x:c r="H5" s="7" t="str">
        <x:v>Comissão Amazon %</x:v>
      </x:c>
      <x:c r="I5" s="7" t="str">
        <x:v>Publicidade % da receita</x:v>
      </x:c>
      <x:c r="J5" s="7" t="str">
        <x:v>Outros custos / perdas USD</x:v>
      </x:c>
      <x:c r="K5" s="7" t="str">
        <x:v>Custos diretos USD</x:v>
      </x:c>
      <x:c r="L5" s="7" t="str">
        <x:v>Comissão USD</x:v>
      </x:c>
      <x:c r="M5" s="7" t="str">
        <x:v>Publicidade USD</x:v>
      </x:c>
      <x:c r="N5" s="7" t="str">
        <x:v>Contribuição USD</x:v>
      </x:c>
      <x:c r="O5" s="7" t="str">
        <x:v>Margem de contribuição %</x:v>
      </x:c>
      <x:c r="P5" s="7" t="str">
        <x:v>Observações</x:v>
      </x:c>
    </x:row>
    <x:row r="6" ht="45" customHeight="1">
      <x:c r="A6" s="10" t="str">
        <x:v>SF-P01</x:v>
      </x:c>
      <x:c r="B6" s="10" t="str">
        <x:f>INDEX('Produtos'!$B$6:$B$29,MATCH(A6,'Produtos'!$A$6:$A$29,0))</x:f>
        <x:v>No Soliciting Door Sign</x:v>
      </x:c>
      <x:c r="C6" s="15"/>
      <x:c r="D6" s="15"/>
      <x:c r="E6" s="15"/>
      <x:c r="F6" s="15"/>
      <x:c r="G6" s="15"/>
      <x:c r="H6" s="16"/>
      <x:c r="I6" s="16"/>
      <x:c r="J6" s="15"/>
      <x:c r="K6" s="13" t="str">
        <x:f>IF(COUNT(D6:G6,J6)&lt;5,"",SUM(D6:G6,J6))</x:f>
      </x:c>
      <x:c r="L6" s="13" t="str">
        <x:f>IF(COUNT(C6,H6)&lt;2,"",IF(C6&lt;=0,"",C6*H6))</x:f>
      </x:c>
      <x:c r="M6" s="13" t="str">
        <x:f>IF(COUNT(C6,I6)&lt;2,"",IF(C6&lt;=0,"",C6*I6))</x:f>
      </x:c>
      <x:c r="N6" s="13" t="str">
        <x:f>IF(COUNT(C6,K6:M6)&lt;4,"",IF(C6&lt;=0,"",C6-SUM(K6:M6)))</x:f>
      </x:c>
      <x:c r="O6" s="17" t="str">
        <x:f>IF(N6="","",N6/C6)</x:f>
      </x:c>
      <x:c r="P6" s="11"/>
    </x:row>
    <x:row r="7" ht="45" customHeight="1">
      <x:c r="A7" s="9" t="str">
        <x:v>SF-P02</x:v>
      </x:c>
      <x:c r="B7" s="9" t="str">
        <x:f>INDEX('Produtos'!$B$6:$B$29,MATCH(A7,'Produtos'!$A$6:$A$29,0))</x:f>
        <x:v>No Soliciting Yard Sign</x:v>
      </x:c>
      <x:c r="C7" s="15"/>
      <x:c r="D7" s="15"/>
      <x:c r="E7" s="15"/>
      <x:c r="F7" s="15"/>
      <x:c r="G7" s="15"/>
      <x:c r="H7" s="16"/>
      <x:c r="I7" s="16"/>
      <x:c r="J7" s="15"/>
      <x:c r="K7" s="14" t="str">
        <x:f>IF(COUNT(D7:G7,J7)&lt;5,"",SUM(D7:G7,J7))</x:f>
      </x:c>
      <x:c r="L7" s="14" t="str">
        <x:f>IF(COUNT(C7,H7)&lt;2,"",IF(C7&lt;=0,"",C7*H7))</x:f>
      </x:c>
      <x:c r="M7" s="14" t="str">
        <x:f>IF(COUNT(C7,I7)&lt;2,"",IF(C7&lt;=0,"",C7*I7))</x:f>
      </x:c>
      <x:c r="N7" s="14" t="str">
        <x:f>IF(COUNT(C7,K7:M7)&lt;4,"",IF(C7&lt;=0,"",C7-SUM(K7:M7)))</x:f>
      </x:c>
      <x:c r="O7" s="18" t="str">
        <x:f>IF(N7="","",N7/C7)</x:f>
      </x:c>
      <x:c r="P7" s="11"/>
    </x:row>
    <x:row r="8" ht="45" customHeight="1">
      <x:c r="A8" s="10" t="str">
        <x:v>SF-P03</x:v>
      </x:c>
      <x:c r="B8" s="10" t="str">
        <x:f>INDEX('Produtos'!$B$6:$B$29,MATCH(A8,'Produtos'!$A$6:$A$29,0))</x:f>
        <x:v>Private Property Sign Set</x:v>
      </x:c>
      <x:c r="C8" s="15"/>
      <x:c r="D8" s="15"/>
      <x:c r="E8" s="15"/>
      <x:c r="F8" s="15"/>
      <x:c r="G8" s="15"/>
      <x:c r="H8" s="16"/>
      <x:c r="I8" s="16"/>
      <x:c r="J8" s="15"/>
      <x:c r="K8" s="13" t="str">
        <x:f>IF(COUNT(D8:G8,J8)&lt;5,"",SUM(D8:G8,J8))</x:f>
      </x:c>
      <x:c r="L8" s="13" t="str">
        <x:f>IF(COUNT(C8,H8)&lt;2,"",IF(C8&lt;=0,"",C8*H8))</x:f>
      </x:c>
      <x:c r="M8" s="13" t="str">
        <x:f>IF(COUNT(C8,I8)&lt;2,"",IF(C8&lt;=0,"",C8*I8))</x:f>
      </x:c>
      <x:c r="N8" s="13" t="str">
        <x:f>IF(COUNT(C8,K8:M8)&lt;4,"",IF(C8&lt;=0,"",C8-SUM(K8:M8)))</x:f>
      </x:c>
      <x:c r="O8" s="17" t="str">
        <x:f>IF(N8="","",N8/C8)</x:f>
      </x:c>
      <x:c r="P8" s="11"/>
    </x:row>
    <x:row r="9" ht="45" customHeight="1">
      <x:c r="A9" s="9" t="str">
        <x:v>SF-P04</x:v>
      </x:c>
      <x:c r="B9" s="9" t="str">
        <x:f>INDEX('Produtos'!$B$6:$B$29,MATCH(A9,'Produtos'!$A$6:$A$29,0))</x:f>
        <x:v>No Parking Sign Set</x:v>
      </x:c>
      <x:c r="C9" s="15"/>
      <x:c r="D9" s="15"/>
      <x:c r="E9" s="15"/>
      <x:c r="F9" s="15"/>
      <x:c r="G9" s="15"/>
      <x:c r="H9" s="16"/>
      <x:c r="I9" s="16"/>
      <x:c r="J9" s="15"/>
      <x:c r="K9" s="14" t="str">
        <x:f>IF(COUNT(D9:G9,J9)&lt;5,"",SUM(D9:G9,J9))</x:f>
      </x:c>
      <x:c r="L9" s="14" t="str">
        <x:f>IF(COUNT(C9,H9)&lt;2,"",IF(C9&lt;=0,"",C9*H9))</x:f>
      </x:c>
      <x:c r="M9" s="14" t="str">
        <x:f>IF(COUNT(C9,I9)&lt;2,"",IF(C9&lt;=0,"",C9*I9))</x:f>
      </x:c>
      <x:c r="N9" s="14" t="str">
        <x:f>IF(COUNT(C9,K9:M9)&lt;4,"",IF(C9&lt;=0,"",C9-SUM(K9:M9)))</x:f>
      </x:c>
      <x:c r="O9" s="18" t="str">
        <x:f>IF(N9="","",N9/C9)</x:f>
      </x:c>
      <x:c r="P9" s="11"/>
    </x:row>
    <x:row r="10" ht="45" customHeight="1">
      <x:c r="A10" s="10" t="str">
        <x:v>SF-C01</x:v>
      </x:c>
      <x:c r="B10" s="10" t="str">
        <x:f>INDEX('Produtos'!$B$6:$B$29,MATCH(A10,'Produtos'!$A$6:$A$29,0))</x:f>
        <x:v>Custom Vinyl Lettering</x:v>
      </x:c>
      <x:c r="C10" s="15"/>
      <x:c r="D10" s="15"/>
      <x:c r="E10" s="15"/>
      <x:c r="F10" s="15"/>
      <x:c r="G10" s="15"/>
      <x:c r="H10" s="16"/>
      <x:c r="I10" s="16"/>
      <x:c r="J10" s="15"/>
      <x:c r="K10" s="13" t="str">
        <x:f>IF(COUNT(D10:G10,J10)&lt;5,"",SUM(D10:G10,J10))</x:f>
      </x:c>
      <x:c r="L10" s="13" t="str">
        <x:f>IF(COUNT(C10,H10)&lt;2,"",IF(C10&lt;=0,"",C10*H10))</x:f>
      </x:c>
      <x:c r="M10" s="13" t="str">
        <x:f>IF(COUNT(C10,I10)&lt;2,"",IF(C10&lt;=0,"",C10*I10))</x:f>
      </x:c>
      <x:c r="N10" s="13" t="str">
        <x:f>IF(COUNT(C10,K10:M10)&lt;4,"",IF(C10&lt;=0,"",C10-SUM(K10:M10)))</x:f>
      </x:c>
      <x:c r="O10" s="17" t="str">
        <x:f>IF(N10="","",N10/C10)</x:f>
      </x:c>
      <x:c r="P10" s="11"/>
    </x:row>
    <x:row r="11" ht="45" customHeight="1">
      <x:c r="A11" s="9" t="str">
        <x:v>SF-C02</x:v>
      </x:c>
      <x:c r="B11" s="9" t="str">
        <x:f>INDEX('Produtos'!$B$6:$B$29,MATCH(A11,'Produtos'!$A$6:$A$29,0))</x:f>
        <x:v>Custom Business Logo Decal</x:v>
      </x:c>
      <x:c r="C11" s="15"/>
      <x:c r="D11" s="15"/>
      <x:c r="E11" s="15"/>
      <x:c r="F11" s="15"/>
      <x:c r="G11" s="15"/>
      <x:c r="H11" s="16"/>
      <x:c r="I11" s="16"/>
      <x:c r="J11" s="15"/>
      <x:c r="K11" s="14" t="str">
        <x:f>IF(COUNT(D11:G11,J11)&lt;5,"",SUM(D11:G11,J11))</x:f>
      </x:c>
      <x:c r="L11" s="14" t="str">
        <x:f>IF(COUNT(C11,H11)&lt;2,"",IF(C11&lt;=0,"",C11*H11))</x:f>
      </x:c>
      <x:c r="M11" s="14" t="str">
        <x:f>IF(COUNT(C11,I11)&lt;2,"",IF(C11&lt;=0,"",C11*I11))</x:f>
      </x:c>
      <x:c r="N11" s="14" t="str">
        <x:f>IF(COUNT(C11,K11:M11)&lt;4,"",IF(C11&lt;=0,"",C11-SUM(K11:M11)))</x:f>
      </x:c>
      <x:c r="O11" s="18" t="str">
        <x:f>IF(N11="","",N11/C11)</x:f>
      </x:c>
      <x:c r="P11" s="11"/>
    </x:row>
    <x:row r="12" ht="45" customHeight="1">
      <x:c r="A12" s="10" t="str">
        <x:v>SF-C03</x:v>
      </x:c>
      <x:c r="B12" s="10" t="str">
        <x:f>INDEX('Produtos'!$B$6:$B$29,MATCH(A12,'Produtos'!$A$6:$A$29,0))</x:f>
        <x:v>Custom Boat Registration Lettering</x:v>
      </x:c>
      <x:c r="C12" s="15"/>
      <x:c r="D12" s="15"/>
      <x:c r="E12" s="15"/>
      <x:c r="F12" s="15"/>
      <x:c r="G12" s="15"/>
      <x:c r="H12" s="16"/>
      <x:c r="I12" s="16"/>
      <x:c r="J12" s="15"/>
      <x:c r="K12" s="13" t="str">
        <x:f>IF(COUNT(D12:G12,J12)&lt;5,"",SUM(D12:G12,J12))</x:f>
      </x:c>
      <x:c r="L12" s="13" t="str">
        <x:f>IF(COUNT(C12,H12)&lt;2,"",IF(C12&lt;=0,"",C12*H12))</x:f>
      </x:c>
      <x:c r="M12" s="13" t="str">
        <x:f>IF(COUNT(C12,I12)&lt;2,"",IF(C12&lt;=0,"",C12*I12))</x:f>
      </x:c>
      <x:c r="N12" s="13" t="str">
        <x:f>IF(COUNT(C12,K12:M12)&lt;4,"",IF(C12&lt;=0,"",C12-SUM(K12:M12)))</x:f>
      </x:c>
      <x:c r="O12" s="17" t="str">
        <x:f>IF(N12="","",N12/C12)</x:f>
      </x:c>
      <x:c r="P12" s="11"/>
    </x:row>
    <x:row r="13" ht="45" customHeight="1">
      <x:c r="A13" s="9" t="str">
        <x:v>SF-H01</x:v>
      </x:c>
      <x:c r="B13" s="9" t="str">
        <x:f>INDEX('Produtos'!$B$6:$B$29,MATCH(A13,'Produtos'!$A$6:$A$29,0))</x:f>
        <x:v>Patterned Frosted Window Film Kit</x:v>
      </x:c>
      <x:c r="C13" s="15"/>
      <x:c r="D13" s="15"/>
      <x:c r="E13" s="15"/>
      <x:c r="F13" s="15"/>
      <x:c r="G13" s="15"/>
      <x:c r="H13" s="16"/>
      <x:c r="I13" s="16"/>
      <x:c r="J13" s="15"/>
      <x:c r="K13" s="14" t="str">
        <x:f>IF(COUNT(D13:G13,J13)&lt;5,"",SUM(D13:G13,J13))</x:f>
      </x:c>
      <x:c r="L13" s="14" t="str">
        <x:f>IF(COUNT(C13,H13)&lt;2,"",IF(C13&lt;=0,"",C13*H13))</x:f>
      </x:c>
      <x:c r="M13" s="14" t="str">
        <x:f>IF(COUNT(C13,I13)&lt;2,"",IF(C13&lt;=0,"",C13*I13))</x:f>
      </x:c>
      <x:c r="N13" s="14" t="str">
        <x:f>IF(COUNT(C13,K13:M13)&lt;4,"",IF(C13&lt;=0,"",C13-SUM(K13:M13)))</x:f>
      </x:c>
      <x:c r="O13" s="18" t="str">
        <x:f>IF(N13="","",N13/C13)</x:f>
      </x:c>
      <x:c r="P13" s="11"/>
    </x:row>
    <x:row r="14" ht="45" customHeight="1">
      <x:c r="A14" s="10" t="str">
        <x:v>SF-B01</x:v>
      </x:c>
      <x:c r="B14" s="10" t="str">
        <x:f>INDEX('Produtos'!$B$6:$B$29,MATCH(A14,'Produtos'!$A$6:$A$29,0))</x:f>
        <x:v>Custom Business Hours Window Decal</x:v>
      </x:c>
      <x:c r="C14" s="15"/>
      <x:c r="D14" s="15"/>
      <x:c r="E14" s="15"/>
      <x:c r="F14" s="15"/>
      <x:c r="G14" s="15"/>
      <x:c r="H14" s="16"/>
      <x:c r="I14" s="16"/>
      <x:c r="J14" s="15"/>
      <x:c r="K14" s="13" t="str">
        <x:f>IF(COUNT(D14:G14,J14)&lt;5,"",SUM(D14:G14,J14))</x:f>
      </x:c>
      <x:c r="L14" s="13" t="str">
        <x:f>IF(COUNT(C14,H14)&lt;2,"",IF(C14&lt;=0,"",C14*H14))</x:f>
      </x:c>
      <x:c r="M14" s="13" t="str">
        <x:f>IF(COUNT(C14,I14)&lt;2,"",IF(C14&lt;=0,"",C14*I14))</x:f>
      </x:c>
      <x:c r="N14" s="13" t="str">
        <x:f>IF(COUNT(C14,K14:M14)&lt;4,"",IF(C14&lt;=0,"",C14-SUM(K14:M14)))</x:f>
      </x:c>
      <x:c r="O14" s="17" t="str">
        <x:f>IF(N14="","",N14/C14)</x:f>
      </x:c>
      <x:c r="P14" s="11"/>
    </x:row>
    <x:row r="15" ht="45" customHeight="1">
      <x:c r="A15" s="9" t="str">
        <x:v>SF-B02</x:v>
      </x:c>
      <x:c r="B15" s="9" t="str">
        <x:f>INDEX('Produtos'!$B$6:$B$29,MATCH(A15,'Produtos'!$A$6:$A$29,0))</x:f>
        <x:v>Open / Closed Reversible Sign</x:v>
      </x:c>
      <x:c r="C15" s="15"/>
      <x:c r="D15" s="15"/>
      <x:c r="E15" s="15"/>
      <x:c r="F15" s="15"/>
      <x:c r="G15" s="15"/>
      <x:c r="H15" s="16"/>
      <x:c r="I15" s="16"/>
      <x:c r="J15" s="15"/>
      <x:c r="K15" s="14" t="str">
        <x:f>IF(COUNT(D15:G15,J15)&lt;5,"",SUM(D15:G15,J15))</x:f>
      </x:c>
      <x:c r="L15" s="14" t="str">
        <x:f>IF(COUNT(C15,H15)&lt;2,"",IF(C15&lt;=0,"",C15*H15))</x:f>
      </x:c>
      <x:c r="M15" s="14" t="str">
        <x:f>IF(COUNT(C15,I15)&lt;2,"",IF(C15&lt;=0,"",C15*I15))</x:f>
      </x:c>
      <x:c r="N15" s="14" t="str">
        <x:f>IF(COUNT(C15,K15:M15)&lt;4,"",IF(C15&lt;=0,"",C15-SUM(K15:M15)))</x:f>
      </x:c>
      <x:c r="O15" s="18" t="str">
        <x:f>IF(N15="","",N15/C15)</x:f>
      </x:c>
      <x:c r="P15" s="11"/>
    </x:row>
    <x:row r="16" ht="45" customHeight="1">
      <x:c r="A16" s="10" t="str">
        <x:v>SF-B03</x:v>
      </x:c>
      <x:c r="B16" s="10" t="str">
        <x:f>INDEX('Produtos'!$B$6:$B$29,MATCH(A16,'Produtos'!$A$6:$A$29,0))</x:f>
        <x:v>Custom QR Code Counter Sign</x:v>
      </x:c>
      <x:c r="C16" s="15"/>
      <x:c r="D16" s="15"/>
      <x:c r="E16" s="15"/>
      <x:c r="F16" s="15"/>
      <x:c r="G16" s="15"/>
      <x:c r="H16" s="16"/>
      <x:c r="I16" s="16"/>
      <x:c r="J16" s="15"/>
      <x:c r="K16" s="13" t="str">
        <x:f>IF(COUNT(D16:G16,J16)&lt;5,"",SUM(D16:G16,J16))</x:f>
      </x:c>
      <x:c r="L16" s="13" t="str">
        <x:f>IF(COUNT(C16,H16)&lt;2,"",IF(C16&lt;=0,"",C16*H16))</x:f>
      </x:c>
      <x:c r="M16" s="13" t="str">
        <x:f>IF(COUNT(C16,I16)&lt;2,"",IF(C16&lt;=0,"",C16*I16))</x:f>
      </x:c>
      <x:c r="N16" s="13" t="str">
        <x:f>IF(COUNT(C16,K16:M16)&lt;4,"",IF(C16&lt;=0,"",C16-SUM(K16:M16)))</x:f>
      </x:c>
      <x:c r="O16" s="17" t="str">
        <x:f>IF(N16="","",N16/C16)</x:f>
      </x:c>
      <x:c r="P16" s="11"/>
    </x:row>
    <x:row r="17" ht="45" customHeight="1">
      <x:c r="A17" s="9" t="str">
        <x:v>SF-B04</x:v>
      </x:c>
      <x:c r="B17" s="9" t="str">
        <x:f>INDEX('Produtos'!$B$6:$B$29,MATCH(A17,'Produtos'!$A$6:$A$29,0))</x:f>
        <x:v>Restroom Door Sign Set</x:v>
      </x:c>
      <x:c r="C17" s="15"/>
      <x:c r="D17" s="15"/>
      <x:c r="E17" s="15"/>
      <x:c r="F17" s="15"/>
      <x:c r="G17" s="15"/>
      <x:c r="H17" s="16"/>
      <x:c r="I17" s="16"/>
      <x:c r="J17" s="15"/>
      <x:c r="K17" s="14" t="str">
        <x:f>IF(COUNT(D17:G17,J17)&lt;5,"",SUM(D17:G17,J17))</x:f>
      </x:c>
      <x:c r="L17" s="14" t="str">
        <x:f>IF(COUNT(C17,H17)&lt;2,"",IF(C17&lt;=0,"",C17*H17))</x:f>
      </x:c>
      <x:c r="M17" s="14" t="str">
        <x:f>IF(COUNT(C17,I17)&lt;2,"",IF(C17&lt;=0,"",C17*I17))</x:f>
      </x:c>
      <x:c r="N17" s="14" t="str">
        <x:f>IF(COUNT(C17,K17:M17)&lt;4,"",IF(C17&lt;=0,"",C17-SUM(K17:M17)))</x:f>
      </x:c>
      <x:c r="O17" s="18" t="str">
        <x:f>IF(N17="","",N17/C17)</x:f>
      </x:c>
      <x:c r="P17" s="11"/>
    </x:row>
    <x:row r="18" ht="45" customHeight="1">
      <x:c r="A18" s="10" t="str">
        <x:v>SF-B05</x:v>
      </x:c>
      <x:c r="B18" s="10" t="str">
        <x:f>INDEX('Produtos'!$B$6:$B$29,MATCH(A18,'Produtos'!$A$6:$A$29,0))</x:f>
        <x:v>Open Flag</x:v>
      </x:c>
      <x:c r="C18" s="15"/>
      <x:c r="D18" s="15"/>
      <x:c r="E18" s="15"/>
      <x:c r="F18" s="15"/>
      <x:c r="G18" s="15"/>
      <x:c r="H18" s="16"/>
      <x:c r="I18" s="16"/>
      <x:c r="J18" s="15"/>
      <x:c r="K18" s="13" t="str">
        <x:f>IF(COUNT(D18:G18,J18)&lt;5,"",SUM(D18:G18,J18))</x:f>
      </x:c>
      <x:c r="L18" s="13" t="str">
        <x:f>IF(COUNT(C18,H18)&lt;2,"",IF(C18&lt;=0,"",C18*H18))</x:f>
      </x:c>
      <x:c r="M18" s="13" t="str">
        <x:f>IF(COUNT(C18,I18)&lt;2,"",IF(C18&lt;=0,"",C18*I18))</x:f>
      </x:c>
      <x:c r="N18" s="13" t="str">
        <x:f>IF(COUNT(C18,K18:M18)&lt;4,"",IF(C18&lt;=0,"",C18-SUM(K18:M18)))</x:f>
      </x:c>
      <x:c r="O18" s="17" t="str">
        <x:f>IF(N18="","",N18/C18)</x:f>
      </x:c>
      <x:c r="P18" s="11"/>
    </x:row>
    <x:row r="19" ht="45" customHeight="1">
      <x:c r="A19" s="9" t="str">
        <x:v>SF-B06</x:v>
      </x:c>
      <x:c r="B19" s="9" t="str">
        <x:f>INDEX('Produtos'!$B$6:$B$29,MATCH(A19,'Produtos'!$A$6:$A$29,0))</x:f>
        <x:v>Grand Opening Vinyl Banner</x:v>
      </x:c>
      <x:c r="C19" s="15"/>
      <x:c r="D19" s="15"/>
      <x:c r="E19" s="15"/>
      <x:c r="F19" s="15"/>
      <x:c r="G19" s="15"/>
      <x:c r="H19" s="16"/>
      <x:c r="I19" s="16"/>
      <x:c r="J19" s="15"/>
      <x:c r="K19" s="14" t="str">
        <x:f>IF(COUNT(D19:G19,J19)&lt;5,"",SUM(D19:G19,J19))</x:f>
      </x:c>
      <x:c r="L19" s="14" t="str">
        <x:f>IF(COUNT(C19,H19)&lt;2,"",IF(C19&lt;=0,"",C19*H19))</x:f>
      </x:c>
      <x:c r="M19" s="14" t="str">
        <x:f>IF(COUNT(C19,I19)&lt;2,"",IF(C19&lt;=0,"",C19*I19))</x:f>
      </x:c>
      <x:c r="N19" s="14" t="str">
        <x:f>IF(COUNT(C19,K19:M19)&lt;4,"",IF(C19&lt;=0,"",C19-SUM(K19:M19)))</x:f>
      </x:c>
      <x:c r="O19" s="18" t="str">
        <x:f>IF(N19="","",N19/C19)</x:f>
      </x:c>
      <x:c r="P19" s="11"/>
    </x:row>
    <x:row r="20" ht="45" customHeight="1">
      <x:c r="A20" s="10" t="str">
        <x:v>SF-P05</x:v>
      </x:c>
      <x:c r="B20" s="10" t="str">
        <x:f>INDEX('Produtos'!$B$6:$B$29,MATCH(A20,'Produtos'!$A$6:$A$29,0))</x:f>
        <x:v>Video Surveillance Sign Set</x:v>
      </x:c>
      <x:c r="C20" s="15"/>
      <x:c r="D20" s="15"/>
      <x:c r="E20" s="15"/>
      <x:c r="F20" s="15"/>
      <x:c r="G20" s="15"/>
      <x:c r="H20" s="16"/>
      <x:c r="I20" s="16"/>
      <x:c r="J20" s="15"/>
      <x:c r="K20" s="13" t="str">
        <x:f>IF(COUNT(D20:G20,J20)&lt;5,"",SUM(D20:G20,J20))</x:f>
      </x:c>
      <x:c r="L20" s="13" t="str">
        <x:f>IF(COUNT(C20,H20)&lt;2,"",IF(C20&lt;=0,"",C20*H20))</x:f>
      </x:c>
      <x:c r="M20" s="13" t="str">
        <x:f>IF(COUNT(C20,I20)&lt;2,"",IF(C20&lt;=0,"",C20*I20))</x:f>
      </x:c>
      <x:c r="N20" s="13" t="str">
        <x:f>IF(COUNT(C20,K20:M20)&lt;4,"",IF(C20&lt;=0,"",C20-SUM(K20:M20)))</x:f>
      </x:c>
      <x:c r="O20" s="17" t="str">
        <x:f>IF(N20="","",N20/C20)</x:f>
      </x:c>
      <x:c r="P20" s="11"/>
    </x:row>
    <x:row r="21" ht="45" customHeight="1">
      <x:c r="A21" s="9" t="str">
        <x:v>SF-P06</x:v>
      </x:c>
      <x:c r="B21" s="9" t="str">
        <x:f>INDEX('Produtos'!$B$6:$B$29,MATCH(A21,'Produtos'!$A$6:$A$29,0))</x:f>
        <x:v>Please Close the Gate Sign Set</x:v>
      </x:c>
      <x:c r="C21" s="15"/>
      <x:c r="D21" s="15"/>
      <x:c r="E21" s="15"/>
      <x:c r="F21" s="15"/>
      <x:c r="G21" s="15"/>
      <x:c r="H21" s="16"/>
      <x:c r="I21" s="16"/>
      <x:c r="J21" s="15"/>
      <x:c r="K21" s="14" t="str">
        <x:f>IF(COUNT(D21:G21,J21)&lt;5,"",SUM(D21:G21,J21))</x:f>
      </x:c>
      <x:c r="L21" s="14" t="str">
        <x:f>IF(COUNT(C21,H21)&lt;2,"",IF(C21&lt;=0,"",C21*H21))</x:f>
      </x:c>
      <x:c r="M21" s="14" t="str">
        <x:f>IF(COUNT(C21,I21)&lt;2,"",IF(C21&lt;=0,"",C21*I21))</x:f>
      </x:c>
      <x:c r="N21" s="14" t="str">
        <x:f>IF(COUNT(C21,K21:M21)&lt;4,"",IF(C21&lt;=0,"",C21-SUM(K21:M21)))</x:f>
      </x:c>
      <x:c r="O21" s="18" t="str">
        <x:f>IF(N21="","",N21/C21)</x:f>
      </x:c>
      <x:c r="P21" s="11"/>
    </x:row>
    <x:row r="22" ht="45" customHeight="1">
      <x:c r="A22" s="10" t="str">
        <x:v>SF-H02</x:v>
      </x:c>
      <x:c r="B22" s="10" t="str">
        <x:f>INDEX('Produtos'!$B$6:$B$29,MATCH(A22,'Produtos'!$A$6:$A$29,0))</x:f>
        <x:v>Baby Sleeping Door Hanger</x:v>
      </x:c>
      <x:c r="C22" s="15"/>
      <x:c r="D22" s="15"/>
      <x:c r="E22" s="15"/>
      <x:c r="F22" s="15"/>
      <x:c r="G22" s="15"/>
      <x:c r="H22" s="16"/>
      <x:c r="I22" s="16"/>
      <x:c r="J22" s="15"/>
      <x:c r="K22" s="13" t="str">
        <x:f>IF(COUNT(D22:G22,J22)&lt;5,"",SUM(D22:G22,J22))</x:f>
      </x:c>
      <x:c r="L22" s="13" t="str">
        <x:f>IF(COUNT(C22,H22)&lt;2,"",IF(C22&lt;=0,"",C22*H22))</x:f>
      </x:c>
      <x:c r="M22" s="13" t="str">
        <x:f>IF(COUNT(C22,I22)&lt;2,"",IF(C22&lt;=0,"",C22*I22))</x:f>
      </x:c>
      <x:c r="N22" s="13" t="str">
        <x:f>IF(COUNT(C22,K22:M22)&lt;4,"",IF(C22&lt;=0,"",C22-SUM(K22:M22)))</x:f>
      </x:c>
      <x:c r="O22" s="17" t="str">
        <x:f>IF(N22="","",N22/C22)</x:f>
      </x:c>
      <x:c r="P22" s="11"/>
    </x:row>
    <x:row r="23" ht="45" customHeight="1">
      <x:c r="A23" s="9" t="str">
        <x:v>SF-H03</x:v>
      </x:c>
      <x:c r="B23" s="9" t="str">
        <x:f>INDEX('Produtos'!$B$6:$B$29,MATCH(A23,'Produtos'!$A$6:$A$29,0))</x:f>
        <x:v>Custom House Address Plaque</x:v>
      </x:c>
      <x:c r="C23" s="15"/>
      <x:c r="D23" s="15"/>
      <x:c r="E23" s="15"/>
      <x:c r="F23" s="15"/>
      <x:c r="G23" s="15"/>
      <x:c r="H23" s="16"/>
      <x:c r="I23" s="16"/>
      <x:c r="J23" s="15"/>
      <x:c r="K23" s="14" t="str">
        <x:f>IF(COUNT(D23:G23,J23)&lt;5,"",SUM(D23:G23,J23))</x:f>
      </x:c>
      <x:c r="L23" s="14" t="str">
        <x:f>IF(COUNT(C23,H23)&lt;2,"",IF(C23&lt;=0,"",C23*H23))</x:f>
      </x:c>
      <x:c r="M23" s="14" t="str">
        <x:f>IF(COUNT(C23,I23)&lt;2,"",IF(C23&lt;=0,"",C23*I23))</x:f>
      </x:c>
      <x:c r="N23" s="14" t="str">
        <x:f>IF(COUNT(C23,K23:M23)&lt;4,"",IF(C23&lt;=0,"",C23-SUM(K23:M23)))</x:f>
      </x:c>
      <x:c r="O23" s="18" t="str">
        <x:f>IF(N23="","",N23/C23)</x:f>
      </x:c>
      <x:c r="P23" s="11"/>
    </x:row>
    <x:row r="24" ht="45" customHeight="1">
      <x:c r="A24" s="10" t="str">
        <x:v>SF-H04</x:v>
      </x:c>
      <x:c r="B24" s="10" t="str">
        <x:f>INDEX('Produtos'!$B$6:$B$29,MATCH(A24,'Produtos'!$A$6:$A$29,0))</x:f>
        <x:v>Custom Family Name Sign</x:v>
      </x:c>
      <x:c r="C24" s="15"/>
      <x:c r="D24" s="15"/>
      <x:c r="E24" s="15"/>
      <x:c r="F24" s="15"/>
      <x:c r="G24" s="15"/>
      <x:c r="H24" s="16"/>
      <x:c r="I24" s="16"/>
      <x:c r="J24" s="15"/>
      <x:c r="K24" s="13" t="str">
        <x:f>IF(COUNT(D24:G24,J24)&lt;5,"",SUM(D24:G24,J24))</x:f>
      </x:c>
      <x:c r="L24" s="13" t="str">
        <x:f>IF(COUNT(C24,H24)&lt;2,"",IF(C24&lt;=0,"",C24*H24))</x:f>
      </x:c>
      <x:c r="M24" s="13" t="str">
        <x:f>IF(COUNT(C24,I24)&lt;2,"",IF(C24&lt;=0,"",C24*I24))</x:f>
      </x:c>
      <x:c r="N24" s="13" t="str">
        <x:f>IF(COUNT(C24,K24:M24)&lt;4,"",IF(C24&lt;=0,"",C24-SUM(K24:M24)))</x:f>
      </x:c>
      <x:c r="O24" s="17" t="str">
        <x:f>IF(N24="","",N24/C24)</x:f>
      </x:c>
      <x:c r="P24" s="11"/>
    </x:row>
    <x:row r="25" ht="45" customHeight="1">
      <x:c r="A25" s="9" t="str">
        <x:v>SF-C04</x:v>
      </x:c>
      <x:c r="B25" s="9" t="str">
        <x:f>INDEX('Produtos'!$B$6:$B$29,MATCH(A25,'Produtos'!$A$6:$A$29,0))</x:f>
        <x:v>Custom Vehicle Magnet Pair</x:v>
      </x:c>
      <x:c r="C25" s="15"/>
      <x:c r="D25" s="15"/>
      <x:c r="E25" s="15"/>
      <x:c r="F25" s="15"/>
      <x:c r="G25" s="15"/>
      <x:c r="H25" s="16"/>
      <x:c r="I25" s="16"/>
      <x:c r="J25" s="15"/>
      <x:c r="K25" s="14" t="str">
        <x:f>IF(COUNT(D25:G25,J25)&lt;5,"",SUM(D25:G25,J25))</x:f>
      </x:c>
      <x:c r="L25" s="14" t="str">
        <x:f>IF(COUNT(C25,H25)&lt;2,"",IF(C25&lt;=0,"",C25*H25))</x:f>
      </x:c>
      <x:c r="M25" s="14" t="str">
        <x:f>IF(COUNT(C25,I25)&lt;2,"",IF(C25&lt;=0,"",C25*I25))</x:f>
      </x:c>
      <x:c r="N25" s="14" t="str">
        <x:f>IF(COUNT(C25,K25:M25)&lt;4,"",IF(C25&lt;=0,"",C25-SUM(K25:M25)))</x:f>
      </x:c>
      <x:c r="O25" s="18" t="str">
        <x:f>IF(N25="","",N25/C25)</x:f>
      </x:c>
      <x:c r="P25" s="11"/>
    </x:row>
    <x:row r="26" ht="45" customHeight="1">
      <x:c r="A26" s="10" t="str">
        <x:v>SF-G01</x:v>
      </x:c>
      <x:c r="B26" s="10" t="str">
        <x:f>INDEX('Produtos'!$B$6:$B$29,MATCH(A26,'Produtos'!$A$6:$A$29,0))</x:f>
        <x:v>OPEN LED Neon Sign</x:v>
      </x:c>
      <x:c r="C26" s="15"/>
      <x:c r="D26" s="15"/>
      <x:c r="E26" s="15"/>
      <x:c r="F26" s="15"/>
      <x:c r="G26" s="15"/>
      <x:c r="H26" s="16"/>
      <x:c r="I26" s="16"/>
      <x:c r="J26" s="15"/>
      <x:c r="K26" s="13" t="str">
        <x:f>IF(COUNT(D26:G26,J26)&lt;5,"",SUM(D26:G26,J26))</x:f>
      </x:c>
      <x:c r="L26" s="13" t="str">
        <x:f>IF(COUNT(C26,H26)&lt;2,"",IF(C26&lt;=0,"",C26*H26))</x:f>
      </x:c>
      <x:c r="M26" s="13" t="str">
        <x:f>IF(COUNT(C26,I26)&lt;2,"",IF(C26&lt;=0,"",C26*I26))</x:f>
      </x:c>
      <x:c r="N26" s="13" t="str">
        <x:f>IF(COUNT(C26,K26:M26)&lt;4,"",IF(C26&lt;=0,"",C26-SUM(K26:M26)))</x:f>
      </x:c>
      <x:c r="O26" s="17" t="str">
        <x:f>IF(N26="","",N26/C26)</x:f>
      </x:c>
      <x:c r="P26" s="11"/>
    </x:row>
    <x:row r="27" ht="45" customHeight="1">
      <x:c r="A27" s="9" t="str">
        <x:v>SF-G02</x:v>
      </x:c>
      <x:c r="B27" s="9" t="str">
        <x:f>INDEX('Produtos'!$B$6:$B$29,MATCH(A27,'Produtos'!$A$6:$A$29,0))</x:f>
        <x:v>Coffee LED Neon Sign</x:v>
      </x:c>
      <x:c r="C27" s="15"/>
      <x:c r="D27" s="15"/>
      <x:c r="E27" s="15"/>
      <x:c r="F27" s="15"/>
      <x:c r="G27" s="15"/>
      <x:c r="H27" s="16"/>
      <x:c r="I27" s="16"/>
      <x:c r="J27" s="15"/>
      <x:c r="K27" s="14" t="str">
        <x:f>IF(COUNT(D27:G27,J27)&lt;5,"",SUM(D27:G27,J27))</x:f>
      </x:c>
      <x:c r="L27" s="14" t="str">
        <x:f>IF(COUNT(C27,H27)&lt;2,"",IF(C27&lt;=0,"",C27*H27))</x:f>
      </x:c>
      <x:c r="M27" s="14" t="str">
        <x:f>IF(COUNT(C27,I27)&lt;2,"",IF(C27&lt;=0,"",C27*I27))</x:f>
      </x:c>
      <x:c r="N27" s="14" t="str">
        <x:f>IF(COUNT(C27,K27:M27)&lt;4,"",IF(C27&lt;=0,"",C27-SUM(K27:M27)))</x:f>
      </x:c>
      <x:c r="O27" s="18" t="str">
        <x:f>IF(N27="","",N27/C27)</x:f>
      </x:c>
      <x:c r="P27" s="11"/>
    </x:row>
    <x:row r="28" ht="45" customHeight="1">
      <x:c r="A28" s="10" t="str">
        <x:v>SF-G03</x:v>
      </x:c>
      <x:c r="B28" s="10" t="str">
        <x:f>INDEX('Produtos'!$B$6:$B$29,MATCH(A28,'Produtos'!$A$6:$A$29,0))</x:f>
        <x:v>Custom Name LED Neon Sign</x:v>
      </x:c>
      <x:c r="C28" s="15"/>
      <x:c r="D28" s="15"/>
      <x:c r="E28" s="15"/>
      <x:c r="F28" s="15"/>
      <x:c r="G28" s="15"/>
      <x:c r="H28" s="16"/>
      <x:c r="I28" s="16"/>
      <x:c r="J28" s="15"/>
      <x:c r="K28" s="13" t="str">
        <x:f>IF(COUNT(D28:G28,J28)&lt;5,"",SUM(D28:G28,J28))</x:f>
      </x:c>
      <x:c r="L28" s="13" t="str">
        <x:f>IF(COUNT(C28,H28)&lt;2,"",IF(C28&lt;=0,"",C28*H28))</x:f>
      </x:c>
      <x:c r="M28" s="13" t="str">
        <x:f>IF(COUNT(C28,I28)&lt;2,"",IF(C28&lt;=0,"",C28*I28))</x:f>
      </x:c>
      <x:c r="N28" s="13" t="str">
        <x:f>IF(COUNT(C28,K28:M28)&lt;4,"",IF(C28&lt;=0,"",C28-SUM(K28:M28)))</x:f>
      </x:c>
      <x:c r="O28" s="17" t="str">
        <x:f>IF(N28="","",N28/C28)</x:f>
      </x:c>
      <x:c r="P28" s="11"/>
    </x:row>
    <x:row r="29" ht="45" customHeight="1">
      <x:c r="A29" s="9" t="str">
        <x:v>SF-B07</x:v>
      </x:c>
      <x:c r="B29" s="9" t="str">
        <x:f>INDEX('Produtos'!$B$6:$B$29,MATCH(A29,'Produtos'!$A$6:$A$29,0))</x:f>
        <x:v>Custom Retractable Banner Kit</x:v>
      </x:c>
      <x:c r="C29" s="15"/>
      <x:c r="D29" s="15"/>
      <x:c r="E29" s="15"/>
      <x:c r="F29" s="15"/>
      <x:c r="G29" s="15"/>
      <x:c r="H29" s="16"/>
      <x:c r="I29" s="16"/>
      <x:c r="J29" s="15"/>
      <x:c r="K29" s="14" t="str">
        <x:f>IF(COUNT(D29:G29,J29)&lt;5,"",SUM(D29:G29,J29))</x:f>
      </x:c>
      <x:c r="L29" s="14" t="str">
        <x:f>IF(COUNT(C29,H29)&lt;2,"",IF(C29&lt;=0,"",C29*H29))</x:f>
      </x:c>
      <x:c r="M29" s="14" t="str">
        <x:f>IF(COUNT(C29,I29)&lt;2,"",IF(C29&lt;=0,"",C29*I29))</x:f>
      </x:c>
      <x:c r="N29" s="14" t="str">
        <x:f>IF(COUNT(C29,K29:M29)&lt;4,"",IF(C29&lt;=0,"",C29-SUM(K29:M29)))</x:f>
      </x:c>
      <x:c r="O29" s="18" t="str">
        <x:f>IF(N29="","",N29/C29)</x:f>
      </x:c>
      <x:c r="P29" s="11"/>
    </x:row>
  </x:sheetData>
  <x:conditionalFormatting sqref="O6:O29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7910a49a4841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6299991607666" hidden="0" customWidth="1"/>
    <x:col min="2" max="2" width="106.25" hidden="0" customWidth="1"/>
  </x:cols>
  <x:sheetData>
    <x:row r="1" ht="24" customHeight="1">
      <x:c r="A1" s="2" t="str">
        <x:v>Guia</x:v>
      </x:c>
      <x:c r="B1" s="1"/>
    </x:row>
    <x:row r="2" ht="18" customHeight="1">
      <x:c r="A2" s="1" t="str">
        <x:v>Como preencher a planilha de produtos e custos.</x:v>
      </x:c>
      <x:c r="B2" s="1"/>
    </x:row>
    <x:row r="3">
      <x:c r="A3" s="3"/>
      <x:c r="B3" s="3"/>
    </x:row>
    <x:row r="4">
      <x:c r="A4" s="1"/>
      <x:c r="B4" s="1"/>
    </x:row>
    <x:row r="5" ht="33" customHeight="1">
      <x:c r="A5" s="7" t="str">
        <x:v>Tema</x:v>
      </x:c>
      <x:c r="B5" s="7" t="str">
        <x:v>Orientação / fonte</x:v>
      </x:c>
    </x:row>
    <x:row r="6" ht="48" customHeight="1">
      <x:c r="A6" s="10" t="str">
        <x:v>Uso</x:v>
      </x:c>
      <x:c r="B6" s="10" t="str">
        <x:v>Aba Produtos: filtre a lista, atualize status, responsável, fornecedor, prazo e observações. Aba Custos: simule cada configuração antes de produzir.</x:v>
      </x:c>
    </x:row>
    <x:row r="7" ht="48" customHeight="1">
      <x:c r="A7" s="9" t="str">
        <x:v>Cores</x:v>
      </x:c>
      <x:c r="B7" s="9" t="str">
        <x:v>Amarelo indica campos editáveis de operação ou custo. Demais dados também podem ser alterados; as colunas K:O de Custos contêm fórmulas.</x:v>
      </x:c>
    </x:row>
    <x:row r="8" ht="48" customHeight="1">
      <x:c r="A8" s="10" t="str">
        <x:v>Identificação</x:v>
      </x:c>
      <x:c r="B8" s="10" t="str">
        <x:v>Use o SKU como chave. O nome em Custos é buscado pelo SKU na aba Produtos, permitindo ordenar as tabelas separadamente.</x:v>
      </x:c>
    </x:row>
    <x:row r="9" ht="48" customHeight="1">
      <x:c r="A9" s="9" t="str">
        <x:v>Unidade de venda</x:v>
      </x:c>
      <x:c r="B9" s="9" t="str">
        <x:v>Informe preço e custos por unidade vendável. Para um kit com duas placas, todos os valores devem corresponder ao kit completo.</x:v>
      </x:c>
    </x:row>
    <x:row r="10" ht="48" customHeight="1">
      <x:c r="A10" s="10" t="str">
        <x:v>Custos em branco</x:v>
      </x:c>
      <x:c r="B10" s="10" t="str">
        <x:v>Os custos reais não foram disponibilizados. Não foram preenchidos com estimativas. Digite 0 quando um item de custo não se aplicar. Sem todos os campos C:J, a margem permanece vazia.</x:v>
      </x:c>
    </x:row>
    <x:row r="11" ht="48" customHeight="1">
      <x:c r="A11" s="9" t="str">
        <x:v>Preço</x:v>
      </x:c>
      <x:c r="B11" s="9" t="str">
        <x:v>As faixas na aba Produtos são hipóteses da proposta original. O preço efetivo é informado separadamente na coluna C de Custos. Preço zero ou negativo não calcula margem.</x:v>
      </x:c>
    </x:row>
    <x:row r="12" ht="48" customHeight="1">
      <x:c r="A12" s="10" t="str">
        <x:v>Frete e logística</x:v>
      </x:c>
      <x:c r="B12" s="10" t="str">
        <x:v>Frete de entrada é o custo por unidade para trazer o produto ao estoque/centro de distribuição. Logística de saída inclui fulfillment FBA ou frete FBM. Evite lançar o mesmo custo duas vezes.</x:v>
      </x:c>
    </x:row>
    <x:row r="13" ht="48" customHeight="1">
      <x:c r="A13" s="9" t="str">
        <x:v>Comissão e publicidade</x:v>
      </x:c>
      <x:c r="B13" s="9" t="str">
        <x:v>Digite percentuais como 15% ou 0,15, conforme a configuração regional do Excel. Comissão e publicidade são calculadas sobre o preço informado. Preço pressupõe receita da unidade, sem cobrança de frete ao cliente.</x:v>
      </x:c>
    </x:row>
    <x:row r="14" ht="48" customHeight="1">
      <x:c r="A14" s="10" t="str">
        <x:v>Outros custos / perdas</x:v>
      </x:c>
      <x:c r="B14" s="10" t="str">
        <x:v>Inclua provisões por unidade para devoluções, impostos aplicáveis e demais despesas variáveis não registradas nas outras colunas.</x:v>
      </x:c>
    </x:row>
    <x:row r="15" ht="48" customHeight="1">
      <x:c r="A15" s="9" t="str">
        <x:v>Contribuição</x:v>
      </x:c>
      <x:c r="B15" s="9" t="str">
        <x:v>Preço de venda menos fabricação, embalagem, fretes, logística, comissão, publicidade e outros custos/perdas. A margem é contribuição dividida pelo preço. Não representa lucro líquido nem desconta custos fixos.</x:v>
      </x:c>
    </x:row>
    <x:row r="16" ht="48" customHeight="1">
      <x:c r="A16" s="10" t="str">
        <x:v>Personalizados</x:v>
      </x:c>
      <x:c r="B16" s="10" t="str">
        <x:v>Amazon Custom exige envio pelo vendedor (FBM). Avalie FBA para os produtos padrão conforme pacote, dimensões e tarifas reais.</x:v>
      </x:c>
    </x:row>
    <x:row r="17" ht="48" customHeight="1">
      <x:c r="A17" s="9" t="str">
        <x:v>Procura</x:v>
      </x:c>
      <x:c r="B17" s="9" t="str">
        <x:v>Evidências vêm da pesquisa preliminar anterior. Nicho estimado não confirma venda de um novo SKU; nicho adjacente exige pesquisa específica; procura não medida deve ser validada.</x:v>
      </x:c>
    </x:row>
    <x:row r="18" ht="48" customHeight="1">
      <x:c r="A18" s="10" t="str">
        <x:v>Origem da lista</x:v>
      </x:c>
      <x:c r="B18" s="10" t="str">
        <x:v>Relatório SignFlare de 07/10/2026: 24 configurações, sendo 8 pilotos, 12 expansões e 4 condicionais.</x:v>
      </x:c>
    </x:row>
    <x:row r="19" ht="48" customHeight="1">
      <x:c r="A19" s="9" t="str">
        <x:v>Catálogo FBR</x:v>
      </x:c>
      <x:c r="B19" s="9" t="str">
        <x:v>https://fbrsigns.com/</x:v>
      </x:c>
    </x:row>
    <x:row r="20" ht="48" customHeight="1">
      <x:c r="A20" s="10" t="str">
        <x:v>Pesquisa oficial Amazon</x:v>
      </x:c>
      <x:c r="B20" s="10" t="str">
        <x:v>https://sell.amazon.com/tools/product-opportunity-explorer</x:v>
      </x:c>
    </x:row>
    <x:row r="21" ht="48" customHeight="1">
      <x:c r="A21" s="9" t="str">
        <x:v>Regras Amazon Custom</x:v>
      </x:c>
      <x:c r="B21" s="9" t="str">
        <x:v>https://sell.amazon.com/programs/custom</x:v>
      </x:c>
    </x:row>
    <x:row r="22" ht="48" customHeight="1">
      <x:c r="A22" s="10" t="str">
        <x:v>Tarifas Amazon</x:v>
      </x:c>
      <x:c r="B22" s="10" t="str">
        <x:v>https://sell.amazon.com/pricing</x:v>
      </x:c>
    </x:row>
  </x:sheetData>
  <x:pageMargins left="0.7" right="0.7" top="0.75" bottom="0.75" header="0.3" footer="0.3"/>
  <x:tableParts count="1">
    <x:tablePart xmlns:r="http://schemas.openxmlformats.org/officeDocument/2006/relationships" r:id="R1bf1c297866e490c"/>
  </x:tableParts>
</x:worksheet>
</file>